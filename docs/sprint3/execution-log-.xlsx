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un 1" sheetId="1" r:id="rId1"/>
    <sheet name="Environment" sheetId="2" r:id="rId2"/>
    <sheet name="Summary" sheetId="3" r:id="rId3"/>
  </sheets>
  <definedNames>
    <definedName name="_xlnm._FilterDatabase" localSheetId="0" hidden="1">'Run 1'!$A$1:$H$47</definedName>
    <definedName name="_xlnm._FilterDatabase" localSheetId="1" hidden="1">Environment!$A$1:$C$14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ChatGPT</author>
  </authors>
  <commentList>
    <comment ref="F2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5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5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5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6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6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6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7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7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7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8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8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8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9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9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9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0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0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0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1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1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1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2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2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2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3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3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3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4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4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4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5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5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5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6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6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6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7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7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7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8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8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8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19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19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19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0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0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0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1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1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1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2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2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2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3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3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3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4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4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4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5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5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5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6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6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6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7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7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7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8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8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8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29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29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29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0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0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0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1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1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1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2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2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2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3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3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3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4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4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4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5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5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5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6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6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6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7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7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7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8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8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8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39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39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39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0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0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0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1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1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1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2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2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2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3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3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3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4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4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4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5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5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5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6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6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6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  <comment ref="F47" authorId="0">
      <text>
        <r>
          <rPr>
            <sz val="10"/>
            <rFont val="SimSun"/>
            <charset val="134"/>
          </rPr>
          <t>Заповни лише після фактичного виконання тест-кейсу. Дозволені статуси: passed, failed, blocked, skipped.</t>
        </r>
      </text>
    </comment>
    <comment ref="G47" authorId="0">
      <text>
        <r>
          <rPr>
            <sz val="10"/>
            <rFont val="SimSun"/>
            <charset val="134"/>
          </rPr>
          <t>Для статусу failed додай ID або URL підтвердженого GitHub Issue. Не додавай неперевірені припущення як дефекти.</t>
        </r>
      </text>
    </comment>
    <comment ref="H47" authorId="0">
      <text>
        <r>
          <rPr>
            <sz val="10"/>
            <rFont val="SimSun"/>
            <charset val="134"/>
          </rPr>
          <t>Запиши фактичну поведінку. Для blocked обов'язково вкажи причину; для skipped — причину пропуску.</t>
        </r>
      </text>
    </comment>
  </commentList>
</comments>
</file>

<file path=xl/sharedStrings.xml><?xml version="1.0" encoding="utf-8"?>
<sst xmlns="http://schemas.openxmlformats.org/spreadsheetml/2006/main" count="214" uniqueCount="120">
  <si>
    <t>Run</t>
  </si>
  <si>
    <t>TC-ID</t>
  </si>
  <si>
    <t>Дата / час виконання</t>
  </si>
  <si>
    <t>Виконавець</t>
  </si>
  <si>
    <t>Середовище (URL / збірка / браузер / ОС)</t>
  </si>
  <si>
    <t>Статус</t>
  </si>
  <si>
    <t>Bug ID / URL GitHub Issue</t>
  </si>
  <si>
    <t>Фактичний результат / коментар</t>
  </si>
  <si>
    <t>Run 1</t>
  </si>
  <si>
    <t>TC-001</t>
  </si>
  <si>
    <t>URL: https://automationintesting.online; браузер/версія та ОС: заповнити після прогону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</si>
  <si>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</si>
  <si>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</si>
  <si>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</si>
  <si>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</si>
  <si>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</si>
  <si>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</si>
  <si>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</si>
  <si>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</si>
  <si>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</si>
  <si>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</si>
  <si>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</si>
  <si>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</si>
  <si>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</si>
  <si>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</si>
  <si>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TC-016</t>
  </si>
  <si>
    <t>TC-017</t>
  </si>
  <si>
    <t>TC-018</t>
  </si>
  <si>
    <t>TC-019</t>
  </si>
  <si>
    <t>TC-020</t>
  </si>
  <si>
    <t>TC-021</t>
  </si>
  <si>
    <t>TC-022</t>
  </si>
  <si>
    <t>TC-023</t>
  </si>
  <si>
    <t>TC-024</t>
  </si>
  <si>
    <t>TC-025</t>
  </si>
  <si>
    <t>TC-026</t>
  </si>
  <si>
    <t>TC-027</t>
  </si>
  <si>
    <t>TC-028</t>
  </si>
  <si>
    <t>TC-029</t>
  </si>
  <si>
    <t>TC-030</t>
  </si>
  <si>
    <t>TC-031</t>
  </si>
  <si>
    <t>TC-032</t>
  </si>
  <si>
    <t>TC-033</t>
  </si>
  <si>
    <t>TC-034</t>
  </si>
  <si>
    <t>TC-035</t>
  </si>
  <si>
    <t>TC-036</t>
  </si>
  <si>
    <t>TC-037</t>
  </si>
  <si>
    <t>TC-038</t>
  </si>
  <si>
    <t>TC-039</t>
  </si>
  <si>
    <t>TC-040</t>
  </si>
  <si>
    <t>TC-041</t>
  </si>
  <si>
    <t>TC-042</t>
  </si>
  <si>
    <t>TC-043</t>
  </si>
  <si>
    <t>TC-044</t>
  </si>
  <si>
    <t>TC-045</t>
  </si>
  <si>
    <t>TC-046</t>
  </si>
  <si>
    <t>Параметр</t>
  </si>
  <si>
    <t>Значення / правило</t>
  </si>
  <si>
    <t>Статус перевірки</t>
  </si>
  <si>
    <t>Гостьова частина</t>
  </si>
  <si>
    <t>https://automationintesting.online</t>
  </si>
  <si>
    <t>URL встановлено із SRS 1.1, не перевірено в інтерактивному браузері</t>
  </si>
  <si>
    <t>Адмінпанель</t>
  </si>
  <si>
    <t>https://automationintesting.online/admin</t>
  </si>
  <si>
    <t>URL встановлено із SRS 1.1</t>
  </si>
  <si>
    <t>Обліковий запис адміністратора</t>
  </si>
  <si>
    <t>admin / password (лише для demo, за SRS 1.1)</t>
  </si>
  <si>
    <t>Не перевірено фактичний вхід</t>
  </si>
  <si>
    <t>Гість</t>
  </si>
  <si>
    <t>Без входу; лише вигадані контактні дані</t>
  </si>
  <si>
    <t>План</t>
  </si>
  <si>
    <t>Збірка</t>
  </si>
  <si>
    <t>Дата/commit/release не визначені; demo може бути оновлено</t>
  </si>
  <si>
    <t>Уточнити на прогоні</t>
  </si>
  <si>
    <t>Браузер 1</t>
  </si>
  <si>
    <t>Chrome; версію зафіксувати під час фактичного прогону</t>
  </si>
  <si>
    <t>Не виконано</t>
  </si>
  <si>
    <t>Браузер 2</t>
  </si>
  <si>
    <t>Firefox; версію зафіксувати під час фактичного прогону</t>
  </si>
  <si>
    <t>ОС</t>
  </si>
  <si>
    <t>ОС та версію записати з фактичного тестового пристрою</t>
  </si>
  <si>
    <t>Стан тестових даних</t>
  </si>
  <si>
    <t>Номери можуть скидатися, не чіпати чужі бронювання/номери</t>
  </si>
  <si>
    <t>Умови SRS 1.1</t>
  </si>
  <si>
    <t>Дата прогону</t>
  </si>
  <si>
    <t>Внести фактичну дату/час і часовий пояс кожного прогону</t>
  </si>
  <si>
    <t>Невідомо</t>
  </si>
  <si>
    <t>Підтвердження email</t>
  </si>
  <si>
    <t>Контрольована тестова inbox недоступна</t>
  </si>
  <si>
    <t>Блок для частини F-60</t>
  </si>
  <si>
    <t>Етичні обмеження</t>
  </si>
  <si>
    <t>Не виконано: контрольована тестова inbox недоступна; кейси, що потребують email-підтвердження, позначати blocked лише якщо це реально заважає їх виконанню.</t>
  </si>
  <si>
    <t>Обов’язково</t>
  </si>
  <si>
    <t>Важливо</t>
  </si>
  <si>
    <t>Не записувати в репозиторій приватні паролі, токени чи реальні персональні дані.</t>
  </si>
  <si>
    <t>Правило безпеки</t>
  </si>
  <si>
    <t>Показник</t>
  </si>
  <si>
    <t>Кількість / стан</t>
  </si>
  <si>
    <t>Пояснення</t>
  </si>
  <si>
    <t>passed</t>
  </si>
  <si>
    <t>Фактично виконані кейси з очікуваним результатом.</t>
  </si>
  <si>
    <t>failed</t>
  </si>
  <si>
    <t>Для кожного failed має бути підтверджений Bug ID / URL.</t>
  </si>
  <si>
    <t>blocked</t>
  </si>
  <si>
    <t>У фактичному результаті обов'язково пояснити причину блокування.</t>
  </si>
  <si>
    <t>skipped</t>
  </si>
  <si>
    <t>Вказати причину свідомого пропуску.</t>
  </si>
  <si>
    <t>Не виконано (статус порожній)</t>
  </si>
  <si>
    <t>Порожній статус означає, що виконання ще не задокументовано; це не passed.</t>
  </si>
  <si>
    <t>Усього тест-кейсів</t>
  </si>
  <si>
    <t>Кількість рядків TC у журналі.</t>
  </si>
  <si>
    <t>FAILED без Bug ID</t>
  </si>
  <si>
    <t>Має бути 0 перед здачею.</t>
  </si>
  <si>
    <t>BLOCKED без причини</t>
  </si>
  <si>
    <t>SKIPPED без причини</t>
  </si>
  <si>
    <t>Готовність журналу</t>
  </si>
  <si>
    <t>Готовність залежить від реального виконання та заповнення обов'язкових полів.</t>
  </si>
  <si>
    <t>Примітка</t>
  </si>
  <si>
    <t>Чернетка</t>
  </si>
  <si>
    <t>Результати тестування не внесені автоматично. Заповни статус, дату, виконавця, середовище та фактичний результат після кожного прогону.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</si>
</sst>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name val="SimSun"/>
      <charset val="134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8FBFD"/>
        <bgColor indexed="64"/>
      </patternFill>
    </fill>
    <fill>
      <patternFill patternType="solid">
        <fgColor rgb="FFF3F8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178" fontId="0" fillId="3" borderId="1" xfId="0" applyNumberFormat="1" applyFill="1" applyBorder="1" applyAlignment="1">
      <alignment vertical="top" wrapText="1"/>
    </xf>
    <xf numFmtId="178" fontId="0" fillId="4" borderId="1" xfId="0" applyNumberFormat="1" applyFill="1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ill>
        <patternFill patternType="solid">
          <fgColor rgb="FFE2F0D9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4DFE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0"/>
      <tableStyleElement type="headerRow" dxfId="9"/>
      <tableStyleElement type="totalRow" dxfId="8"/>
      <tableStyleElement type="firstColumn" dxfId="7"/>
      <tableStyleElement type="lastColumn" dxfId="6"/>
      <tableStyleElement type="firstRowStripe" dxfId="5"/>
      <tableStyleElement type="firstColumnStripe" dxfId="4"/>
    </tableStyle>
    <tableStyle name="PivotStylePreset2_Accent1" table="0" count="10" xr9:uid="{267968C8-6FFD-4C36-ACC1-9EA1FD1885CA}">
      <tableStyleElement type="headerRow" dxfId="20"/>
      <tableStyleElement type="totalRow" dxfId="19"/>
      <tableStyleElement type="firstRowStripe" dxfId="18"/>
      <tableStyleElement type="firstColumnStripe" dxfId="17"/>
      <tableStyleElement type="firstSubtotalRow" dxfId="16"/>
      <tableStyleElement type="secondSubtotalRow" dxfId="15"/>
      <tableStyleElement type="firstRowSubheading" dxfId="14"/>
      <tableStyleElement type="secondRowSubheading" dxfId="13"/>
      <tableStyleElement type="pageFieldLabels" dxfId="12"/>
      <tableStyleElement type="pageFieldValues" dxfId="11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showGridLines="0"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7"/>
  <cols>
    <col min="1" max="1" width="12" customWidth="1"/>
    <col min="2" max="2" width="13" customWidth="1"/>
    <col min="3" max="4" width="22" customWidth="1"/>
    <col min="5" max="5" width="58" customWidth="1"/>
    <col min="6" max="6" width="16" customWidth="1"/>
    <col min="7" max="7" width="34" customWidth="1"/>
    <col min="8" max="8" width="62" customWidth="1"/>
  </cols>
  <sheetData>
    <row r="1" ht="42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40" customHeight="1" spans="1:8">
      <c r="A2" s="2" t="s">
        <v>8</v>
      </c>
      <c r="B2" s="2" t="s">
        <v>9</v>
      </c>
      <c r="C2" s="5"/>
      <c r="D2" s="2"/>
      <c r="E2" s="2" t="s">
        <v>10</v>
      </c>
      <c r="F2" s="2"/>
      <c r="G2" s="2"/>
      <c r="H2" s="2"/>
    </row>
    <row r="3" ht="40" customHeight="1" spans="1:8">
      <c r="A3" s="4" t="s">
        <v>8</v>
      </c>
      <c r="B3" s="4" t="s">
        <v>11</v>
      </c>
      <c r="C3" s="6"/>
      <c r="D3" s="4"/>
      <c r="E3" s="4" t="s">
        <v>10</v>
      </c>
      <c r="F3" s="4"/>
      <c r="G3" s="4"/>
      <c r="H3" s="4"/>
    </row>
    <row r="4" ht="40" customHeight="1" spans="1:8">
      <c r="A4" s="2" t="s">
        <v>8</v>
      </c>
      <c r="B4" s="2" t="s">
        <v>12</v>
      </c>
      <c r="C4" s="5"/>
      <c r="D4" s="2"/>
      <c r="E4" s="2" t="s">
        <v>10</v>
      </c>
      <c r="F4" s="2"/>
      <c r="G4" s="2"/>
      <c r="H4" s="2"/>
    </row>
    <row r="5" ht="40" customHeight="1" spans="1:8">
      <c r="A5" s="4" t="s">
        <v>8</v>
      </c>
      <c r="B5" s="4" t="s">
        <v>13</v>
      </c>
      <c r="C5" s="6"/>
      <c r="D5" s="4"/>
      <c r="E5" s="4" t="s">
        <v>10</v>
      </c>
      <c r="F5" s="4"/>
      <c r="G5" s="4"/>
      <c r="H5" s="4"/>
    </row>
    <row r="6" ht="40" customHeight="1" spans="1:8">
      <c r="A6" s="2" t="s">
        <v>8</v>
      </c>
      <c r="B6" s="2" t="s">
        <v>14</v>
      </c>
      <c r="C6" s="5"/>
      <c r="D6" s="2"/>
      <c r="E6" s="2" t="s">
        <v>10</v>
      </c>
      <c r="F6" s="2"/>
      <c r="G6" s="2"/>
      <c r="H6" s="2"/>
    </row>
    <row r="7" ht="40" customHeight="1" spans="1:8">
      <c r="A7" s="4" t="s">
        <v>8</v>
      </c>
      <c r="B7" s="4" t="s">
        <v>15</v>
      </c>
      <c r="C7" s="6"/>
      <c r="D7" s="4"/>
      <c r="E7" s="4" t="s">
        <v>10</v>
      </c>
      <c r="F7" s="4"/>
      <c r="G7" s="4"/>
      <c r="H7" s="4"/>
    </row>
    <row r="8" ht="40" customHeight="1" spans="1:8">
      <c r="A8" s="2" t="s">
        <v>8</v>
      </c>
      <c r="B8" s="2" t="s">
        <v>16</v>
      </c>
      <c r="C8" s="5"/>
      <c r="D8" s="2"/>
      <c r="E8" s="2" t="s">
        <v>10</v>
      </c>
      <c r="F8" s="2"/>
      <c r="G8" s="2"/>
      <c r="H8" s="2"/>
    </row>
    <row r="9" ht="40" customHeight="1" spans="1:8">
      <c r="A9" s="4" t="s">
        <v>8</v>
      </c>
      <c r="B9" s="4" t="s">
        <v>17</v>
      </c>
      <c r="C9" s="6"/>
      <c r="D9" s="4"/>
      <c r="E9" s="4" t="s">
        <v>10</v>
      </c>
      <c r="F9" s="4"/>
      <c r="G9" s="4"/>
      <c r="H9" s="4"/>
    </row>
    <row r="10" ht="40" customHeight="1" spans="1:8">
      <c r="A10" s="2" t="s">
        <v>8</v>
      </c>
      <c r="B10" s="2" t="s">
        <v>18</v>
      </c>
      <c r="C10" s="5"/>
      <c r="D10" s="2"/>
      <c r="E10" s="2" t="s">
        <v>10</v>
      </c>
      <c r="F10" s="2"/>
      <c r="G10" s="2"/>
      <c r="H10" s="2"/>
    </row>
    <row r="11" ht="40" customHeight="1" spans="1:8">
      <c r="A11" s="4" t="s">
        <v>8</v>
      </c>
      <c r="B11" s="4" t="s">
        <v>19</v>
      </c>
      <c r="C11" s="6"/>
      <c r="D11" s="4"/>
      <c r="E11" s="4" t="s">
        <v>10</v>
      </c>
      <c r="F11" s="4"/>
      <c r="G11" s="4"/>
      <c r="H11" s="4"/>
    </row>
    <row r="12" ht="40" customHeight="1" spans="1:8">
      <c r="A12" s="2" t="s">
        <v>8</v>
      </c>
      <c r="B12" s="2" t="s">
        <v>20</v>
      </c>
      <c r="C12" s="5"/>
      <c r="D12" s="2"/>
      <c r="E12" s="2" t="s">
        <v>10</v>
      </c>
      <c r="F12" s="2"/>
      <c r="G12" s="2"/>
      <c r="H12" s="2"/>
    </row>
    <row r="13" ht="40" customHeight="1" spans="1:8">
      <c r="A13" s="4" t="s">
        <v>8</v>
      </c>
      <c r="B13" s="4" t="s">
        <v>21</v>
      </c>
      <c r="C13" s="6"/>
      <c r="D13" s="4"/>
      <c r="E13" s="4" t="s">
        <v>10</v>
      </c>
      <c r="F13" s="4"/>
      <c r="G13" s="4"/>
      <c r="H13" s="4"/>
    </row>
    <row r="14" ht="40" customHeight="1" spans="1:8">
      <c r="A14" s="2" t="s">
        <v>8</v>
      </c>
      <c r="B14" s="2" t="s">
        <v>22</v>
      </c>
      <c r="C14" s="5"/>
      <c r="D14" s="2"/>
      <c r="E14" s="2" t="s">
        <v>10</v>
      </c>
      <c r="F14" s="2"/>
      <c r="G14" s="2"/>
      <c r="H14" s="2"/>
    </row>
    <row r="15" ht="40" customHeight="1" spans="1:8">
      <c r="A15" s="4" t="s">
        <v>8</v>
      </c>
      <c r="B15" s="4" t="s">
        <v>23</v>
      </c>
      <c r="C15" s="6"/>
      <c r="D15" s="4"/>
      <c r="E15" s="4" t="s">
        <v>10</v>
      </c>
      <c r="F15" s="4"/>
      <c r="G15" s="4"/>
      <c r="H15" s="4"/>
    </row>
    <row r="16" ht="40" customHeight="1" spans="1:8">
      <c r="A16" s="2" t="s">
        <v>8</v>
      </c>
      <c r="B16" s="2" t="s">
        <v>24</v>
      </c>
      <c r="C16" s="5"/>
      <c r="D16" s="2"/>
      <c r="E16" s="2" t="s">
        <v>10</v>
      </c>
      <c r="F16" s="2"/>
      <c r="G16" s="2"/>
      <c r="H16" s="2"/>
    </row>
    <row r="17" ht="40" customHeight="1" spans="1:8">
      <c r="A17" s="4" t="s">
        <v>8</v>
      </c>
      <c r="B17" s="4" t="s">
        <v>25</v>
      </c>
      <c r="C17" s="6"/>
      <c r="D17" s="4"/>
      <c r="E17" s="4" t="s">
        <v>10</v>
      </c>
      <c r="F17" s="4"/>
      <c r="G17" s="4"/>
      <c r="H17" s="4"/>
    </row>
    <row r="18" ht="40" customHeight="1" spans="1:8">
      <c r="A18" s="2" t="s">
        <v>8</v>
      </c>
      <c r="B18" s="2" t="s">
        <v>26</v>
      </c>
      <c r="C18" s="5"/>
      <c r="D18" s="2"/>
      <c r="E18" s="2" t="s">
        <v>10</v>
      </c>
      <c r="F18" s="2"/>
      <c r="G18" s="2"/>
      <c r="H18" s="2"/>
    </row>
    <row r="19" ht="40" customHeight="1" spans="1:8">
      <c r="A19" s="4" t="s">
        <v>8</v>
      </c>
      <c r="B19" s="4" t="s">
        <v>27</v>
      </c>
      <c r="C19" s="6"/>
      <c r="D19" s="4"/>
      <c r="E19" s="4" t="s">
        <v>10</v>
      </c>
      <c r="F19" s="4"/>
      <c r="G19" s="4"/>
      <c r="H19" s="4"/>
    </row>
    <row r="20" ht="40" customHeight="1" spans="1:8">
      <c r="A20" s="2" t="s">
        <v>8</v>
      </c>
      <c r="B20" s="2" t="s">
        <v>28</v>
      </c>
      <c r="C20" s="5"/>
      <c r="D20" s="2"/>
      <c r="E20" s="2" t="s">
        <v>10</v>
      </c>
      <c r="F20" s="2"/>
      <c r="G20" s="2"/>
      <c r="H20" s="2"/>
    </row>
    <row r="21" ht="40" customHeight="1" spans="1:8">
      <c r="A21" s="4" t="s">
        <v>8</v>
      </c>
      <c r="B21" s="4" t="s">
        <v>29</v>
      </c>
      <c r="C21" s="6"/>
      <c r="D21" s="4"/>
      <c r="E21" s="4" t="s">
        <v>10</v>
      </c>
      <c r="F21" s="4"/>
      <c r="G21" s="4"/>
      <c r="H21" s="4"/>
    </row>
    <row r="22" ht="40" customHeight="1" spans="1:8">
      <c r="A22" s="2" t="s">
        <v>8</v>
      </c>
      <c r="B22" s="2" t="s">
        <v>30</v>
      </c>
      <c r="C22" s="5"/>
      <c r="D22" s="2"/>
      <c r="E22" s="2" t="s">
        <v>10</v>
      </c>
      <c r="F22" s="2"/>
      <c r="G22" s="2"/>
      <c r="H22" s="2"/>
    </row>
    <row r="23" ht="40" customHeight="1" spans="1:8">
      <c r="A23" s="4" t="s">
        <v>8</v>
      </c>
      <c r="B23" s="4" t="s">
        <v>31</v>
      </c>
      <c r="C23" s="6"/>
      <c r="D23" s="4"/>
      <c r="E23" s="4" t="s">
        <v>10</v>
      </c>
      <c r="F23" s="4"/>
      <c r="G23" s="4"/>
      <c r="H23" s="4"/>
    </row>
    <row r="24" ht="40" customHeight="1" spans="1:8">
      <c r="A24" s="2" t="s">
        <v>8</v>
      </c>
      <c r="B24" s="2" t="s">
        <v>32</v>
      </c>
      <c r="C24" s="5"/>
      <c r="D24" s="2"/>
      <c r="E24" s="2" t="s">
        <v>10</v>
      </c>
      <c r="F24" s="2"/>
      <c r="G24" s="2"/>
      <c r="H24" s="2"/>
    </row>
    <row r="25" ht="40" customHeight="1" spans="1:8">
      <c r="A25" s="4" t="s">
        <v>8</v>
      </c>
      <c r="B25" s="4" t="s">
        <v>33</v>
      </c>
      <c r="C25" s="6"/>
      <c r="D25" s="4"/>
      <c r="E25" s="4" t="s">
        <v>10</v>
      </c>
      <c r="F25" s="4"/>
      <c r="G25" s="4"/>
      <c r="H25" s="4"/>
    </row>
    <row r="26" ht="40" customHeight="1" spans="1:8">
      <c r="A26" s="2" t="s">
        <v>8</v>
      </c>
      <c r="B26" s="2" t="s">
        <v>34</v>
      </c>
      <c r="C26" s="5"/>
      <c r="D26" s="2"/>
      <c r="E26" s="2" t="s">
        <v>10</v>
      </c>
      <c r="F26" s="2"/>
      <c r="G26" s="2"/>
      <c r="H26" s="2"/>
    </row>
    <row r="27" ht="40" customHeight="1" spans="1:8">
      <c r="A27" s="4" t="s">
        <v>8</v>
      </c>
      <c r="B27" s="4" t="s">
        <v>35</v>
      </c>
      <c r="C27" s="6"/>
      <c r="D27" s="4"/>
      <c r="E27" s="4" t="s">
        <v>10</v>
      </c>
      <c r="F27" s="4"/>
      <c r="G27" s="4"/>
      <c r="H27" s="4"/>
    </row>
    <row r="28" ht="40" customHeight="1" spans="1:8">
      <c r="A28" s="2" t="s">
        <v>8</v>
      </c>
      <c r="B28" s="2" t="s">
        <v>36</v>
      </c>
      <c r="C28" s="5"/>
      <c r="D28" s="2"/>
      <c r="E28" s="2" t="s">
        <v>10</v>
      </c>
      <c r="F28" s="2"/>
      <c r="G28" s="2"/>
      <c r="H28" s="2"/>
    </row>
    <row r="29" ht="40" customHeight="1" spans="1:8">
      <c r="A29" s="4" t="s">
        <v>8</v>
      </c>
      <c r="B29" s="4" t="s">
        <v>37</v>
      </c>
      <c r="C29" s="6"/>
      <c r="D29" s="4"/>
      <c r="E29" s="4" t="s">
        <v>10</v>
      </c>
      <c r="F29" s="4"/>
      <c r="G29" s="4"/>
      <c r="H29" s="4"/>
    </row>
    <row r="30" ht="40" customHeight="1" spans="1:8">
      <c r="A30" s="2" t="s">
        <v>8</v>
      </c>
      <c r="B30" s="2" t="s">
        <v>38</v>
      </c>
      <c r="C30" s="5"/>
      <c r="D30" s="2"/>
      <c r="E30" s="2" t="s">
        <v>10</v>
      </c>
      <c r="F30" s="2"/>
      <c r="G30" s="2"/>
      <c r="H30" s="2"/>
    </row>
    <row r="31" ht="40" customHeight="1" spans="1:8">
      <c r="A31" s="4" t="s">
        <v>8</v>
      </c>
      <c r="B31" s="4" t="s">
        <v>39</v>
      </c>
      <c r="C31" s="6"/>
      <c r="D31" s="4"/>
      <c r="E31" s="4" t="s">
        <v>10</v>
      </c>
      <c r="F31" s="4"/>
      <c r="G31" s="4"/>
      <c r="H31" s="4"/>
    </row>
    <row r="32" ht="40" customHeight="1" spans="1:8">
      <c r="A32" s="2" t="s">
        <v>8</v>
      </c>
      <c r="B32" s="2" t="s">
        <v>40</v>
      </c>
      <c r="C32" s="5"/>
      <c r="D32" s="2"/>
      <c r="E32" s="2" t="s">
        <v>10</v>
      </c>
      <c r="F32" s="2"/>
      <c r="G32" s="2"/>
      <c r="H32" s="2"/>
    </row>
    <row r="33" ht="40" customHeight="1" spans="1:8">
      <c r="A33" s="4" t="s">
        <v>8</v>
      </c>
      <c r="B33" s="4" t="s">
        <v>41</v>
      </c>
      <c r="C33" s="6"/>
      <c r="D33" s="4"/>
      <c r="E33" s="4" t="s">
        <v>10</v>
      </c>
      <c r="F33" s="4"/>
      <c r="G33" s="4"/>
      <c r="H33" s="4"/>
    </row>
    <row r="34" ht="40" customHeight="1" spans="1:8">
      <c r="A34" s="2" t="s">
        <v>8</v>
      </c>
      <c r="B34" s="2" t="s">
        <v>42</v>
      </c>
      <c r="C34" s="5"/>
      <c r="D34" s="2"/>
      <c r="E34" s="2" t="s">
        <v>10</v>
      </c>
      <c r="F34" s="2"/>
      <c r="G34" s="2"/>
      <c r="H34" s="2"/>
    </row>
    <row r="35" ht="40" customHeight="1" spans="1:8">
      <c r="A35" s="4" t="s">
        <v>8</v>
      </c>
      <c r="B35" s="4" t="s">
        <v>43</v>
      </c>
      <c r="C35" s="6"/>
      <c r="D35" s="4"/>
      <c r="E35" s="4" t="s">
        <v>10</v>
      </c>
      <c r="F35" s="4"/>
      <c r="G35" s="4"/>
      <c r="H35" s="4"/>
    </row>
    <row r="36" ht="40" customHeight="1" spans="1:8">
      <c r="A36" s="2" t="s">
        <v>8</v>
      </c>
      <c r="B36" s="2" t="s">
        <v>44</v>
      </c>
      <c r="C36" s="5"/>
      <c r="D36" s="2"/>
      <c r="E36" s="2" t="s">
        <v>10</v>
      </c>
      <c r="F36" s="2"/>
      <c r="G36" s="2"/>
      <c r="H36" s="2"/>
    </row>
    <row r="37" ht="40" customHeight="1" spans="1:8">
      <c r="A37" s="4" t="s">
        <v>8</v>
      </c>
      <c r="B37" s="4" t="s">
        <v>45</v>
      </c>
      <c r="C37" s="6"/>
      <c r="D37" s="4"/>
      <c r="E37" s="4" t="s">
        <v>10</v>
      </c>
      <c r="F37" s="4"/>
      <c r="G37" s="4"/>
      <c r="H37" s="4"/>
    </row>
    <row r="38" ht="40" customHeight="1" spans="1:8">
      <c r="A38" s="2" t="s">
        <v>8</v>
      </c>
      <c r="B38" s="2" t="s">
        <v>46</v>
      </c>
      <c r="C38" s="5"/>
      <c r="D38" s="2"/>
      <c r="E38" s="2" t="s">
        <v>10</v>
      </c>
      <c r="F38" s="2"/>
      <c r="G38" s="2"/>
      <c r="H38" s="2"/>
    </row>
    <row r="39" ht="40" customHeight="1" spans="1:8">
      <c r="A39" s="4" t="s">
        <v>8</v>
      </c>
      <c r="B39" s="4" t="s">
        <v>47</v>
      </c>
      <c r="C39" s="6"/>
      <c r="D39" s="4"/>
      <c r="E39" s="4" t="s">
        <v>10</v>
      </c>
      <c r="F39" s="4"/>
      <c r="G39" s="4"/>
      <c r="H39" s="4"/>
    </row>
    <row r="40" ht="40" customHeight="1" spans="1:8">
      <c r="A40" s="2" t="s">
        <v>8</v>
      </c>
      <c r="B40" s="2" t="s">
        <v>48</v>
      </c>
      <c r="C40" s="5"/>
      <c r="D40" s="2"/>
      <c r="E40" s="2" t="s">
        <v>10</v>
      </c>
      <c r="F40" s="2"/>
      <c r="G40" s="2"/>
      <c r="H40" s="2"/>
    </row>
    <row r="41" ht="40" customHeight="1" spans="1:8">
      <c r="A41" s="4" t="s">
        <v>8</v>
      </c>
      <c r="B41" s="4" t="s">
        <v>49</v>
      </c>
      <c r="C41" s="6"/>
      <c r="D41" s="4"/>
      <c r="E41" s="4" t="s">
        <v>10</v>
      </c>
      <c r="F41" s="4"/>
      <c r="G41" s="4"/>
      <c r="H41" s="4"/>
    </row>
    <row r="42" ht="40" customHeight="1" spans="1:8">
      <c r="A42" s="2" t="s">
        <v>8</v>
      </c>
      <c r="B42" s="2" t="s">
        <v>50</v>
      </c>
      <c r="C42" s="5"/>
      <c r="D42" s="2"/>
      <c r="E42" s="2" t="s">
        <v>10</v>
      </c>
      <c r="F42" s="2"/>
      <c r="G42" s="2"/>
      <c r="H42" s="2"/>
    </row>
    <row r="43" ht="40" customHeight="1" spans="1:8">
      <c r="A43" s="4" t="s">
        <v>8</v>
      </c>
      <c r="B43" s="4" t="s">
        <v>51</v>
      </c>
      <c r="C43" s="6"/>
      <c r="D43" s="4"/>
      <c r="E43" s="4" t="s">
        <v>10</v>
      </c>
      <c r="F43" s="4"/>
      <c r="G43" s="4"/>
      <c r="H43" s="4"/>
    </row>
    <row r="44" ht="40" customHeight="1" spans="1:8">
      <c r="A44" s="2" t="s">
        <v>8</v>
      </c>
      <c r="B44" s="2" t="s">
        <v>52</v>
      </c>
      <c r="C44" s="5"/>
      <c r="D44" s="2"/>
      <c r="E44" s="2" t="s">
        <v>10</v>
      </c>
      <c r="F44" s="2"/>
      <c r="G44" s="2"/>
      <c r="H44" s="2"/>
    </row>
    <row r="45" ht="40" customHeight="1" spans="1:8">
      <c r="A45" s="4" t="s">
        <v>8</v>
      </c>
      <c r="B45" s="4" t="s">
        <v>53</v>
      </c>
      <c r="C45" s="6"/>
      <c r="D45" s="4"/>
      <c r="E45" s="4" t="s">
        <v>10</v>
      </c>
      <c r="F45" s="4"/>
      <c r="G45" s="4"/>
      <c r="H45" s="4"/>
    </row>
    <row r="46" ht="40" customHeight="1" spans="1:8">
      <c r="A46" s="2" t="s">
        <v>8</v>
      </c>
      <c r="B46" s="2" t="s">
        <v>54</v>
      </c>
      <c r="C46" s="5"/>
      <c r="D46" s="2"/>
      <c r="E46" s="2" t="s">
        <v>10</v>
      </c>
      <c r="F46" s="2"/>
      <c r="G46" s="2"/>
      <c r="H46" s="2"/>
    </row>
    <row r="47" ht="40" customHeight="1" spans="1:8">
      <c r="A47" s="4" t="s">
        <v>8</v>
      </c>
      <c r="B47" s="4" t="s">
        <v>55</v>
      </c>
      <c r="C47" s="6"/>
      <c r="D47" s="4"/>
      <c r="E47" s="4" t="s">
        <v>10</v>
      </c>
      <c r="F47" s="4"/>
      <c r="G47" s="4"/>
      <c r="H47" s="4"/>
    </row>
  </sheetData>
  <autoFilter xmlns:etc="http://www.wps.cn/officeDocument/2017/etCustomData" ref="A1:H47" etc:filterBottomFollowUsedRange="0">
    <extLst/>
  </autoFilter>
  <conditionalFormatting sqref="F2:F47">
    <cfRule type="expression" dxfId="0" priority="1">
      <formula>$F2="passed"</formula>
    </cfRule>
    <cfRule type="expression" dxfId="1" priority="2">
      <formula>$F2="failed"</formula>
    </cfRule>
    <cfRule type="expression" dxfId="2" priority="3">
      <formula>$F2="blocked"</formula>
    </cfRule>
    <cfRule type="expression" dxfId="3" priority="4">
      <formula>$F2="skipped"</formula>
    </cfRule>
  </conditionalFormatting>
  <dataValidations count="1">
    <dataValidation type="list" allowBlank="1" showInputMessage="1" showErrorMessage="1" errorTitle="Неприпустимий статус" error="Обери один зі статусів: passed, failed, blocked, skipped." promptTitle="Статус виконання" prompt="Встановлюй статус лише після фактичного виконання кейсу." sqref="F2:F47">
      <formula1>"passed,failed,blocked,skipped"</formula1>
    </dataValidation>
  </dataValidations>
  <pageMargins left="0.7" right="0.7" top="0.75" bottom="0.75" header="0.3" footer="0.3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4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2"/>
  <cols>
    <col min="1" max="1" width="30" customWidth="1"/>
    <col min="2" max="2" width="100" customWidth="1"/>
    <col min="3" max="3" width="72" customWidth="1"/>
  </cols>
  <sheetData>
    <row r="1" ht="32" customHeight="1" spans="1:3">
      <c r="A1" s="1" t="s">
        <v>56</v>
      </c>
      <c r="B1" s="1" t="s">
        <v>57</v>
      </c>
      <c r="C1" s="1" t="s">
        <v>58</v>
      </c>
    </row>
    <row r="2" ht="38" customHeight="1" spans="1:3">
      <c r="A2" s="2" t="s">
        <v>59</v>
      </c>
      <c r="B2" s="2" t="s">
        <v>60</v>
      </c>
      <c r="C2" s="2" t="s">
        <v>61</v>
      </c>
    </row>
    <row r="3" ht="38" customHeight="1" spans="1:3">
      <c r="A3" s="4" t="s">
        <v>62</v>
      </c>
      <c r="B3" s="4" t="s">
        <v>63</v>
      </c>
      <c r="C3" s="4" t="s">
        <v>64</v>
      </c>
    </row>
    <row r="4" ht="38" customHeight="1" spans="1:3">
      <c r="A4" s="2" t="s">
        <v>65</v>
      </c>
      <c r="B4" s="2" t="s">
        <v>66</v>
      </c>
      <c r="C4" s="2" t="s">
        <v>67</v>
      </c>
    </row>
    <row r="5" ht="38" customHeight="1" spans="1:3">
      <c r="A5" s="4" t="s">
        <v>68</v>
      </c>
      <c r="B5" s="4" t="s">
        <v>69</v>
      </c>
      <c r="C5" s="4" t="s">
        <v>70</v>
      </c>
    </row>
    <row r="6" ht="38" customHeight="1" spans="1:3">
      <c r="A6" s="2" t="s">
        <v>71</v>
      </c>
      <c r="B6" s="2" t="s">
        <v>72</v>
      </c>
      <c r="C6" s="2" t="s">
        <v>73</v>
      </c>
    </row>
    <row r="7" ht="38" customHeight="1" spans="1:3">
      <c r="A7" s="4" t="s">
        <v>74</v>
      </c>
      <c r="B7" s="4" t="s">
        <v>75</v>
      </c>
      <c r="C7" s="4" t="s">
        <v>76</v>
      </c>
    </row>
    <row r="8" ht="38" customHeight="1" spans="1:3">
      <c r="A8" s="2" t="s">
        <v>77</v>
      </c>
      <c r="B8" s="2" t="s">
        <v>78</v>
      </c>
      <c r="C8" s="2" t="s">
        <v>76</v>
      </c>
    </row>
    <row r="9" ht="38" customHeight="1" spans="1:3">
      <c r="A9" s="4" t="s">
        <v>79</v>
      </c>
      <c r="B9" s="4" t="s">
        <v>80</v>
      </c>
      <c r="C9" s="4" t="s">
        <v>76</v>
      </c>
    </row>
    <row r="10" ht="38" customHeight="1" spans="1:3">
      <c r="A10" s="2" t="s">
        <v>81</v>
      </c>
      <c r="B10" s="2" t="s">
        <v>82</v>
      </c>
      <c r="C10" s="2" t="s">
        <v>83</v>
      </c>
    </row>
    <row r="11" ht="38" customHeight="1" spans="1:3">
      <c r="A11" s="4" t="s">
        <v>84</v>
      </c>
      <c r="B11" s="4" t="s">
        <v>85</v>
      </c>
      <c r="C11" s="4" t="s">
        <v>86</v>
      </c>
    </row>
    <row r="12" ht="38" customHeight="1" spans="1:3">
      <c r="A12" s="2" t="s">
        <v>87</v>
      </c>
      <c r="B12" s="2" t="s">
        <v>88</v>
      </c>
      <c r="C12" s="2" t="s">
        <v>89</v>
      </c>
    </row>
    <row r="13" ht="38" customHeight="1" spans="1:3">
      <c r="A13" s="4" t="s">
        <v>90</v>
      </c>
      <c r="B13" s="4" t="s">
        <v>91</v>
      </c>
      <c r="C13" s="4" t="s">
        <v>92</v>
      </c>
    </row>
    <row r="14" ht="38" customHeight="1" spans="1:3">
      <c r="A14" s="2" t="s">
        <v>93</v>
      </c>
      <c r="B14" s="2" t="s">
        <v>94</v>
      </c>
      <c r="C14" s="2" t="s">
        <v>95</v>
      </c>
    </row>
  </sheetData>
  <autoFilter xmlns:etc="http://www.wps.cn/officeDocument/2017/etCustomData" ref="A1:C14" etc:filterBottomFollowUsedRange="0">
    <extLst/>
  </autoFilter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showGridLines="0" workbookViewId="0">
      <pane ySplit="1" topLeftCell="A2" activePane="bottomLeft" state="frozen"/>
      <selection/>
      <selection pane="bottomLeft" activeCell="A1" sqref="A1"/>
    </sheetView>
  </sheetViews>
  <sheetFormatPr defaultColWidth="9" defaultRowHeight="13.8" outlineLevelCol="2"/>
  <cols>
    <col min="1" max="1" width="34" customWidth="1"/>
    <col min="2" max="2" width="54" customWidth="1"/>
    <col min="3" max="3" width="88" customWidth="1"/>
  </cols>
  <sheetData>
    <row r="1" ht="34" customHeight="1" spans="1:3">
      <c r="A1" s="1" t="s">
        <v>96</v>
      </c>
      <c r="B1" s="1" t="s">
        <v>97</v>
      </c>
      <c r="C1" s="1" t="s">
        <v>98</v>
      </c>
    </row>
    <row r="2" ht="38" customHeight="1" spans="1:3">
      <c r="A2" s="2" t="s">
        <v>99</v>
      </c>
      <c r="B2" s="2">
        <f>COUNTIF('Run 1'!F2:F47,A2)</f>
        <v>0</v>
      </c>
      <c r="C2" s="2" t="s">
        <v>100</v>
      </c>
    </row>
    <row r="3" ht="38" customHeight="1" spans="1:3">
      <c r="A3" s="3" t="s">
        <v>101</v>
      </c>
      <c r="B3" s="3">
        <f>COUNTIF('Run 1'!F2:F47,A3)</f>
        <v>0</v>
      </c>
      <c r="C3" s="3" t="s">
        <v>102</v>
      </c>
    </row>
    <row r="4" ht="38" customHeight="1" spans="1:3">
      <c r="A4" s="2" t="s">
        <v>103</v>
      </c>
      <c r="B4" s="2">
        <f>COUNTIF('Run 1'!F2:F47,A4)</f>
        <v>0</v>
      </c>
      <c r="C4" s="2" t="s">
        <v>104</v>
      </c>
    </row>
    <row r="5" ht="38" customHeight="1" spans="1:3">
      <c r="A5" s="3" t="s">
        <v>105</v>
      </c>
      <c r="B5" s="3">
        <f>COUNTIF('Run 1'!F2:F47,A5)</f>
        <v>0</v>
      </c>
      <c r="C5" s="3" t="s">
        <v>106</v>
      </c>
    </row>
    <row r="6" ht="38" customHeight="1" spans="1:3">
      <c r="A6" s="2" t="s">
        <v>107</v>
      </c>
      <c r="B6" s="2">
        <f>COUNTBLANK('Run 1'!F2:F47)</f>
        <v>46</v>
      </c>
      <c r="C6" s="2" t="s">
        <v>108</v>
      </c>
    </row>
    <row r="7" ht="38" customHeight="1" spans="1:3">
      <c r="A7" s="3" t="s">
        <v>109</v>
      </c>
      <c r="B7" s="3">
        <f>COUNTA('Run 1'!B2:B47)</f>
        <v>46</v>
      </c>
      <c r="C7" s="3" t="s">
        <v>110</v>
      </c>
    </row>
    <row r="8" ht="38" customHeight="1" spans="1:3">
      <c r="A8" s="2" t="s">
        <v>111</v>
      </c>
      <c r="B8" s="2">
        <f>COUNTIFS('Run 1'!F2:F47,"failed",'Run 1'!G2:G47,"")</f>
        <v>0</v>
      </c>
      <c r="C8" s="2" t="s">
        <v>112</v>
      </c>
    </row>
    <row r="9" ht="38" customHeight="1" spans="1:3">
      <c r="A9" s="3" t="s">
        <v>113</v>
      </c>
      <c r="B9" s="3">
        <f>COUNTIFS('Run 1'!F2:F47,"blocked",'Run 1'!H2:H47,"")</f>
        <v>0</v>
      </c>
      <c r="C9" s="3" t="s">
        <v>112</v>
      </c>
    </row>
    <row r="10" ht="38" customHeight="1" spans="1:3">
      <c r="A10" s="2" t="s">
        <v>114</v>
      </c>
      <c r="B10" s="2">
        <f>COUNTIFS('Run 1'!F2:F47,"skipped",'Run 1'!H2:H47,"")</f>
        <v>0</v>
      </c>
      <c r="C10" s="2" t="s">
        <v>112</v>
      </c>
    </row>
    <row r="11" ht="38" customHeight="1" spans="1:3">
      <c r="A11" s="3" t="s">
        <v>115</v>
      </c>
      <c r="B11" s="3" t="str">
        <f>IF(AND(B6=0,B8=0,B9=0,B10=0),"Так — перевірки заповнені","Ні — є невиконані кейси або незаповнені поля")</f>
        <v>Ні — є невиконані кейси або незаповнені поля</v>
      </c>
      <c r="C11" s="3" t="s">
        <v>116</v>
      </c>
    </row>
    <row r="12" ht="38" customHeight="1" spans="1:3">
      <c r="A12" s="2" t="s">
        <v>117</v>
      </c>
      <c r="B12" s="2" t="s">
        <v>118</v>
      </c>
      <c r="C12" s="2" t="s">
        <v>119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 1</vt:lpstr>
      <vt:lpstr>Environment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StayNow Sprint 3 — Execution Log</dc:title>
  <dc:subject>Журнал виконання тест-кейсів; шаблон без вигаданих результатів</dc:subject>
  <dc:creator>openpyxl</dc:creator>
  <dc:description>46 test case rows, environment notes, status validation and formula-driven summary.</dc:description>
  <cp:lastModifiedBy>AlkaW-</cp:lastModifiedBy>
  <dcterms:created xsi:type="dcterms:W3CDTF">2026-10-28T18:44:00Z</dcterms:created>
  <dcterms:modified xsi:type="dcterms:W3CDTF">2026-10-28T18:47:01Z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D505DEC8C58944FC9324EBFF0558B6AA_12</vt:lpwstr>
  </property>
  <property fmtid="{D5CDD505-2E9C-101B-9397-08002B2CF9AE}" pid="3" name="KSOProductBuildVer">
    <vt:lpwstr>1033-12.2.0.23206</vt:lpwstr>
  </property>
</Properties>
</file>